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118 - Ford City PA - PPG - Project Files\081 - Bidding &amp; Procurement\"/>
    </mc:Choice>
  </mc:AlternateContent>
  <xr:revisionPtr revIDLastSave="0" documentId="8_{8CBDD330-CE72-4B43-82A7-A76815E2DF07}" xr6:coauthVersionLast="47" xr6:coauthVersionMax="47" xr10:uidLastSave="{00000000-0000-0000-0000-000000000000}"/>
  <bookViews>
    <workbookView xWindow="-120" yWindow="-120" windowWidth="38640" windowHeight="21120" xr2:uid="{AC53DF41-67B2-44E8-BF9A-71F133E8C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F49" i="1" s="1"/>
</calcChain>
</file>

<file path=xl/sharedStrings.xml><?xml version="1.0" encoding="utf-8"?>
<sst xmlns="http://schemas.openxmlformats.org/spreadsheetml/2006/main" count="101" uniqueCount="57">
  <si>
    <t>Item</t>
  </si>
  <si>
    <t>Description</t>
  </si>
  <si>
    <t>Estimated Quantity</t>
  </si>
  <si>
    <t>Unit Cost</t>
  </si>
  <si>
    <t>Total Cost</t>
  </si>
  <si>
    <t>Mobilization/Demobilization (4)</t>
  </si>
  <si>
    <t>LS</t>
  </si>
  <si>
    <t>Pre-Construction Survey, Survey Control, Topographic Survey for Measurement and Payment, As-Built Survey</t>
  </si>
  <si>
    <t>Installation/Inspection/Maintanence/Removal of Erosion and Sediment Controls (5)</t>
  </si>
  <si>
    <t>Installation, Maintenance and Removal of Temporary Fencing at Wetland Boundaries</t>
  </si>
  <si>
    <t>LF</t>
  </si>
  <si>
    <t xml:space="preserve">Tree Clearing, Grubbing, and Chipping </t>
  </si>
  <si>
    <t>SY</t>
  </si>
  <si>
    <t>Temporary Access Roads including Rock Construction Entrances and Timber Mats, Maintanence of Exising Access Roads and Dust Control (9)</t>
  </si>
  <si>
    <t>Channel Excavate and Grade, Stockpile Sediments</t>
  </si>
  <si>
    <t>CY</t>
  </si>
  <si>
    <t>Placement of Native Streambed Material and Construct Earthen Berm</t>
  </si>
  <si>
    <t xml:space="preserve">10 oz/sy Non-Woven Geotextile Placement </t>
  </si>
  <si>
    <t>Biodegradable Erosion Control Matting Installation</t>
  </si>
  <si>
    <t>RipRap (R-4) Armoring Material for Side Slopes and Installation</t>
  </si>
  <si>
    <t>Place and Spread Excess Sediment Material in non-wetland areas of the LOD</t>
  </si>
  <si>
    <t>Transportation of Material to Spoil Management Area</t>
  </si>
  <si>
    <t>Excavate, Grade and Backfill Southern Embankment</t>
  </si>
  <si>
    <t>Riprap Material and Placement</t>
  </si>
  <si>
    <t>Excavate and Remove Existing Culvert, Install New Culvert, Embed Culvert with Native Soil, and Backfill, includes Disposal</t>
  </si>
  <si>
    <t>10 oz/sy Non-Woven Geotextile and RipRap Material and Placement</t>
  </si>
  <si>
    <t>Provide and Install Type DW Headwall</t>
  </si>
  <si>
    <t>EA</t>
  </si>
  <si>
    <t>Dewatering and Water Management (Leachate and Groundwater)</t>
  </si>
  <si>
    <t>Day</t>
  </si>
  <si>
    <t>Trench Excavation, Stockpile, Surface Water Management and Stability</t>
  </si>
  <si>
    <t>BCY</t>
  </si>
  <si>
    <t>Collection Sumps</t>
  </si>
  <si>
    <t>Sump Casing (2.5 LF Stainless Steel) (6)</t>
  </si>
  <si>
    <t>Collection Piping, Cleanouts, Fittings, and Connections to Sump Casing</t>
  </si>
  <si>
    <t>Backfill Trench (PennDOT 2B River Gravel)</t>
  </si>
  <si>
    <t>Backfill Native Material</t>
  </si>
  <si>
    <t>Impermeable Geomembrane (GCL)</t>
  </si>
  <si>
    <t>EDD Stream Crossing Backfill</t>
  </si>
  <si>
    <t xml:space="preserve">Sump Vaults (5' X 5' X 4') and Precast Double Hinged Door. </t>
  </si>
  <si>
    <t>Provide and Install Pump, Piping, Tubing, Valves, Fittings and Appurtenances and Make Connections to Existing System</t>
  </si>
  <si>
    <t>Develop Sumps and Trench</t>
  </si>
  <si>
    <t>Weeks</t>
  </si>
  <si>
    <t>Provide Temporary Railroad Crossing, Stream Crossing, and Access Road</t>
  </si>
  <si>
    <t>Excavate and Remove Existing Vaults and Transport to ECTS, Install 5' X 5'X 4' Vaults with Precast Double Hinged Door and Backfill Excavation</t>
  </si>
  <si>
    <t xml:space="preserve">Remove stream crossing, install erosion control matting and stabilize </t>
  </si>
  <si>
    <t>LCY</t>
  </si>
  <si>
    <t>Interim Stockpiling and Dewatering</t>
  </si>
  <si>
    <t>Spread, Grade and Compact Materials Generated From Site Excavation Work</t>
  </si>
  <si>
    <t>Geosynthetic Clay Liner</t>
  </si>
  <si>
    <t>Soils Cover Non-impacted Site Material Placement (8)</t>
  </si>
  <si>
    <t>Top Soil Cover Material Import and Placement</t>
  </si>
  <si>
    <t>Temporary Stabilization Annual Rye (Seeding, Mulch)</t>
  </si>
  <si>
    <t>Permanent Stabilization (Lime, Seed, Fertilizer, Mulch)</t>
  </si>
  <si>
    <t>Wetland Restoration</t>
  </si>
  <si>
    <t>Total</t>
  </si>
  <si>
    <t>Unit of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</si>
</sst>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6113-1BAE-4181-91E0-1B0B95FD3361}">
  <dimension ref="A1:F49"/>
  <sheetViews>
    <sheetView tabSelected="1" workbookViewId="0">
      <selection activeCell="D1" sqref="D1:D1048576"/>
    </sheetView>
  </sheetViews>
  <sheetFormatPr defaultRowHeight="15" x14ac:dyDescent="0.25"/>
  <cols>
    <col min="1" max="1" width="5.42578125" style="1" bestFit="1" customWidth="1"/>
    <col min="2" max="2" width="128.140625" bestFit="1" customWidth="1"/>
    <col min="3" max="3" width="17.85546875" style="2" bestFit="1" customWidth="1"/>
    <col min="4" max="4" width="6.7109375" style="2" bestFit="1" customWidth="1"/>
    <col min="5" max="6" width="12.5703125" bestFit="1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 t="s">
        <v>56</v>
      </c>
      <c r="E1" t="s">
        <v>3</v>
      </c>
      <c r="F1" t="s">
        <v>4</v>
      </c>
    </row>
    <row r="2" spans="1:6" x14ac:dyDescent="0.25">
      <c r="A2" s="1">
        <v>1.01</v>
      </c>
      <c r="B2" t="s">
        <v>5</v>
      </c>
      <c r="C2" s="2">
        <v>1</v>
      </c>
      <c r="D2" s="2" t="s">
        <v>6</v>
      </c>
      <c r="E2" s="3">
        <v>72910</v>
      </c>
      <c r="F2" s="3">
        <f>E2*C2</f>
        <v>72910</v>
      </c>
    </row>
    <row r="3" spans="1:6" x14ac:dyDescent="0.25">
      <c r="A3" s="1">
        <v>1.02</v>
      </c>
      <c r="B3" t="s">
        <v>7</v>
      </c>
      <c r="C3" s="2">
        <v>1</v>
      </c>
      <c r="D3" s="2" t="s">
        <v>6</v>
      </c>
      <c r="E3" s="3">
        <v>29030</v>
      </c>
      <c r="F3" s="3">
        <f t="shared" ref="F3:F48" si="0">E3*C3</f>
        <v>29030</v>
      </c>
    </row>
    <row r="4" spans="1:6" x14ac:dyDescent="0.25">
      <c r="A4" s="1">
        <v>1.03</v>
      </c>
      <c r="B4" t="s">
        <v>8</v>
      </c>
      <c r="C4" s="2">
        <v>1</v>
      </c>
      <c r="D4" s="2" t="s">
        <v>6</v>
      </c>
      <c r="E4" s="3">
        <v>18830</v>
      </c>
      <c r="F4" s="3">
        <f t="shared" si="0"/>
        <v>18830</v>
      </c>
    </row>
    <row r="5" spans="1:6" x14ac:dyDescent="0.25">
      <c r="A5" s="1">
        <v>1.04</v>
      </c>
      <c r="B5" t="s">
        <v>9</v>
      </c>
      <c r="C5" s="2">
        <v>760</v>
      </c>
      <c r="D5" s="2" t="s">
        <v>10</v>
      </c>
      <c r="E5" s="3">
        <v>6</v>
      </c>
      <c r="F5" s="3">
        <f t="shared" si="0"/>
        <v>4560</v>
      </c>
    </row>
    <row r="6" spans="1:6" x14ac:dyDescent="0.25">
      <c r="A6" s="1">
        <v>1.05</v>
      </c>
      <c r="B6" t="s">
        <v>11</v>
      </c>
      <c r="C6" s="2">
        <v>5000</v>
      </c>
      <c r="D6" s="2" t="s">
        <v>12</v>
      </c>
      <c r="E6" s="3">
        <v>1.37</v>
      </c>
      <c r="F6" s="3">
        <f t="shared" si="0"/>
        <v>6850.0000000000009</v>
      </c>
    </row>
    <row r="7" spans="1:6" x14ac:dyDescent="0.25">
      <c r="A7" s="1">
        <v>1.06</v>
      </c>
      <c r="B7" t="s">
        <v>13</v>
      </c>
      <c r="C7" s="2">
        <v>1</v>
      </c>
      <c r="D7" s="2" t="s">
        <v>6</v>
      </c>
      <c r="E7" s="3">
        <v>111794.21</v>
      </c>
      <c r="F7" s="3">
        <f t="shared" si="0"/>
        <v>111794.21</v>
      </c>
    </row>
    <row r="8" spans="1:6" x14ac:dyDescent="0.25">
      <c r="A8" s="1">
        <v>2.0099999999999998</v>
      </c>
      <c r="B8" t="s">
        <v>14</v>
      </c>
      <c r="C8" s="2">
        <v>2300</v>
      </c>
      <c r="D8" s="2" t="s">
        <v>15</v>
      </c>
      <c r="E8" s="3">
        <v>13.8</v>
      </c>
      <c r="F8" s="3">
        <f t="shared" si="0"/>
        <v>31740</v>
      </c>
    </row>
    <row r="9" spans="1:6" x14ac:dyDescent="0.25">
      <c r="A9" s="1">
        <v>2.0199999999999996</v>
      </c>
      <c r="B9" t="s">
        <v>16</v>
      </c>
      <c r="C9" s="2">
        <v>410</v>
      </c>
      <c r="D9" s="2" t="s">
        <v>15</v>
      </c>
      <c r="E9" s="3">
        <v>23.5</v>
      </c>
      <c r="F9" s="3">
        <f t="shared" si="0"/>
        <v>9635</v>
      </c>
    </row>
    <row r="10" spans="1:6" x14ac:dyDescent="0.25">
      <c r="A10" s="1">
        <v>2.0299999999999994</v>
      </c>
      <c r="B10" t="s">
        <v>17</v>
      </c>
      <c r="C10" s="2">
        <v>3580</v>
      </c>
      <c r="D10" s="2" t="s">
        <v>12</v>
      </c>
      <c r="E10" s="3">
        <v>5.35</v>
      </c>
      <c r="F10" s="3">
        <f t="shared" si="0"/>
        <v>19153</v>
      </c>
    </row>
    <row r="11" spans="1:6" x14ac:dyDescent="0.25">
      <c r="A11" s="1">
        <v>2.0399999999999991</v>
      </c>
      <c r="B11" t="s">
        <v>18</v>
      </c>
      <c r="C11" s="2">
        <v>1300</v>
      </c>
      <c r="D11" s="2" t="s">
        <v>12</v>
      </c>
      <c r="E11" s="3">
        <v>8.18</v>
      </c>
      <c r="F11" s="3">
        <f t="shared" si="0"/>
        <v>10634</v>
      </c>
    </row>
    <row r="12" spans="1:6" x14ac:dyDescent="0.25">
      <c r="A12" s="1">
        <v>2.0499999999999989</v>
      </c>
      <c r="B12" t="s">
        <v>19</v>
      </c>
      <c r="C12" s="2">
        <v>2350</v>
      </c>
      <c r="D12" s="2" t="s">
        <v>15</v>
      </c>
      <c r="E12" s="3">
        <v>62.68</v>
      </c>
      <c r="F12" s="3">
        <f t="shared" si="0"/>
        <v>147298</v>
      </c>
    </row>
    <row r="13" spans="1:6" x14ac:dyDescent="0.25">
      <c r="A13" s="1">
        <v>2.0599999999999987</v>
      </c>
      <c r="B13" t="s">
        <v>20</v>
      </c>
      <c r="C13" s="2">
        <v>11340</v>
      </c>
      <c r="D13" s="2" t="s">
        <v>12</v>
      </c>
      <c r="E13" s="3">
        <v>1.6</v>
      </c>
      <c r="F13" s="3">
        <f t="shared" si="0"/>
        <v>18144</v>
      </c>
    </row>
    <row r="14" spans="1:6" x14ac:dyDescent="0.25">
      <c r="A14" s="1">
        <v>2.0699999999999985</v>
      </c>
      <c r="B14" t="s">
        <v>21</v>
      </c>
      <c r="C14" s="2">
        <v>523</v>
      </c>
      <c r="D14" s="2" t="s">
        <v>15</v>
      </c>
      <c r="E14" s="3">
        <v>22.6</v>
      </c>
      <c r="F14" s="3">
        <f t="shared" si="0"/>
        <v>11819.800000000001</v>
      </c>
    </row>
    <row r="15" spans="1:6" x14ac:dyDescent="0.25">
      <c r="A15" s="1">
        <v>3.01</v>
      </c>
      <c r="B15" t="s">
        <v>22</v>
      </c>
      <c r="C15" s="2">
        <v>920</v>
      </c>
      <c r="D15" s="2" t="s">
        <v>15</v>
      </c>
      <c r="E15" s="3">
        <v>15.4</v>
      </c>
      <c r="F15" s="3">
        <f t="shared" si="0"/>
        <v>14168</v>
      </c>
    </row>
    <row r="16" spans="1:6" x14ac:dyDescent="0.25">
      <c r="A16" s="1">
        <v>3.0199999999999996</v>
      </c>
      <c r="B16" t="s">
        <v>17</v>
      </c>
      <c r="C16" s="2">
        <v>1220</v>
      </c>
      <c r="D16" s="2" t="s">
        <v>12</v>
      </c>
      <c r="E16" s="3">
        <v>3.65</v>
      </c>
      <c r="F16" s="3">
        <f t="shared" si="0"/>
        <v>4453</v>
      </c>
    </row>
    <row r="17" spans="1:6" x14ac:dyDescent="0.25">
      <c r="A17" s="1">
        <v>3.0299999999999994</v>
      </c>
      <c r="B17" t="s">
        <v>23</v>
      </c>
      <c r="C17" s="2">
        <v>820</v>
      </c>
      <c r="D17" s="2" t="s">
        <v>15</v>
      </c>
      <c r="E17" s="3">
        <v>79.16</v>
      </c>
      <c r="F17" s="3">
        <f t="shared" si="0"/>
        <v>64911.199999999997</v>
      </c>
    </row>
    <row r="18" spans="1:6" x14ac:dyDescent="0.25">
      <c r="A18" s="1">
        <v>3.0399999999999991</v>
      </c>
      <c r="B18" t="s">
        <v>20</v>
      </c>
      <c r="C18" s="2">
        <v>610</v>
      </c>
      <c r="D18" s="2" t="s">
        <v>12</v>
      </c>
      <c r="E18" s="3">
        <v>1.6</v>
      </c>
      <c r="F18" s="3">
        <f t="shared" si="0"/>
        <v>976</v>
      </c>
    </row>
    <row r="19" spans="1:6" x14ac:dyDescent="0.25">
      <c r="A19" s="1">
        <v>3.0499999999999989</v>
      </c>
      <c r="B19" t="s">
        <v>21</v>
      </c>
      <c r="C19" s="2">
        <v>1</v>
      </c>
      <c r="D19" s="2" t="s">
        <v>15</v>
      </c>
      <c r="E19" s="3">
        <v>22.6</v>
      </c>
      <c r="F19" s="3">
        <f t="shared" si="0"/>
        <v>22.6</v>
      </c>
    </row>
    <row r="20" spans="1:6" x14ac:dyDescent="0.25">
      <c r="A20" s="1">
        <v>4.01</v>
      </c>
      <c r="B20" t="s">
        <v>24</v>
      </c>
      <c r="C20" s="2">
        <v>20</v>
      </c>
      <c r="D20" s="2" t="s">
        <v>10</v>
      </c>
      <c r="E20" s="3">
        <v>510</v>
      </c>
      <c r="F20" s="3">
        <f t="shared" si="0"/>
        <v>10200</v>
      </c>
    </row>
    <row r="21" spans="1:6" x14ac:dyDescent="0.25">
      <c r="A21" s="1">
        <v>4.0199999999999996</v>
      </c>
      <c r="B21" t="s">
        <v>25</v>
      </c>
      <c r="C21" s="2">
        <v>36</v>
      </c>
      <c r="D21" s="2" t="s">
        <v>12</v>
      </c>
      <c r="E21" s="3">
        <v>39</v>
      </c>
      <c r="F21" s="3">
        <f t="shared" si="0"/>
        <v>1404</v>
      </c>
    </row>
    <row r="22" spans="1:6" x14ac:dyDescent="0.25">
      <c r="A22" s="1">
        <v>4.03</v>
      </c>
      <c r="B22" t="s">
        <v>26</v>
      </c>
      <c r="C22" s="2">
        <v>2</v>
      </c>
      <c r="D22" s="2" t="s">
        <v>27</v>
      </c>
      <c r="E22" s="3">
        <v>4970</v>
      </c>
      <c r="F22" s="3">
        <f t="shared" si="0"/>
        <v>9940</v>
      </c>
    </row>
    <row r="23" spans="1:6" x14ac:dyDescent="0.25">
      <c r="A23" s="1">
        <v>5.01</v>
      </c>
      <c r="B23" t="s">
        <v>28</v>
      </c>
      <c r="C23" s="2">
        <v>1</v>
      </c>
      <c r="D23" s="2" t="s">
        <v>29</v>
      </c>
      <c r="E23" s="3">
        <v>6370</v>
      </c>
      <c r="F23" s="3">
        <f t="shared" si="0"/>
        <v>6370</v>
      </c>
    </row>
    <row r="24" spans="1:6" x14ac:dyDescent="0.25">
      <c r="A24" s="1">
        <v>5.0199999999999996</v>
      </c>
      <c r="B24" t="s">
        <v>30</v>
      </c>
      <c r="C24" s="2">
        <v>170</v>
      </c>
      <c r="D24" s="2" t="s">
        <v>31</v>
      </c>
      <c r="E24" s="3">
        <v>103.5</v>
      </c>
      <c r="F24" s="3">
        <f t="shared" si="0"/>
        <v>17595</v>
      </c>
    </row>
    <row r="25" spans="1:6" x14ac:dyDescent="0.25">
      <c r="A25" s="1">
        <v>5.0299999999999994</v>
      </c>
      <c r="B25" t="s">
        <v>32</v>
      </c>
      <c r="C25" s="2">
        <v>3</v>
      </c>
      <c r="D25" s="2" t="s">
        <v>27</v>
      </c>
      <c r="E25" s="3">
        <v>1990</v>
      </c>
      <c r="F25" s="3">
        <f t="shared" si="0"/>
        <v>5970</v>
      </c>
    </row>
    <row r="26" spans="1:6" x14ac:dyDescent="0.25">
      <c r="A26" s="1">
        <v>5.04</v>
      </c>
      <c r="B26" t="s">
        <v>33</v>
      </c>
      <c r="C26" s="2">
        <v>26</v>
      </c>
      <c r="D26" s="2" t="s">
        <v>10</v>
      </c>
      <c r="E26" s="3">
        <v>145</v>
      </c>
      <c r="F26" s="3">
        <f t="shared" si="0"/>
        <v>3770</v>
      </c>
    </row>
    <row r="27" spans="1:6" x14ac:dyDescent="0.25">
      <c r="A27" s="1">
        <v>5.05</v>
      </c>
      <c r="B27" t="s">
        <v>34</v>
      </c>
      <c r="C27" s="2">
        <v>1</v>
      </c>
      <c r="D27" s="2" t="s">
        <v>6</v>
      </c>
      <c r="E27" s="3">
        <v>15350</v>
      </c>
      <c r="F27" s="3">
        <f t="shared" si="0"/>
        <v>15350</v>
      </c>
    </row>
    <row r="28" spans="1:6" x14ac:dyDescent="0.25">
      <c r="A28" s="1">
        <v>5.0599999999999996</v>
      </c>
      <c r="B28" t="s">
        <v>35</v>
      </c>
      <c r="C28" s="2">
        <v>85</v>
      </c>
      <c r="D28" s="2" t="s">
        <v>31</v>
      </c>
      <c r="E28" s="3">
        <v>162</v>
      </c>
      <c r="F28" s="3">
        <f t="shared" si="0"/>
        <v>13770</v>
      </c>
    </row>
    <row r="29" spans="1:6" x14ac:dyDescent="0.25">
      <c r="A29" s="1">
        <v>5.07</v>
      </c>
      <c r="B29" t="s">
        <v>36</v>
      </c>
      <c r="C29" s="2">
        <v>89</v>
      </c>
      <c r="D29" s="2" t="s">
        <v>31</v>
      </c>
      <c r="E29" s="3">
        <v>63.5</v>
      </c>
      <c r="F29" s="3">
        <f t="shared" si="0"/>
        <v>5651.5</v>
      </c>
    </row>
    <row r="30" spans="1:6" x14ac:dyDescent="0.25">
      <c r="A30" s="1">
        <v>5.08</v>
      </c>
      <c r="B30" t="s">
        <v>37</v>
      </c>
      <c r="C30" s="2">
        <v>150</v>
      </c>
      <c r="D30" s="2" t="s">
        <v>12</v>
      </c>
      <c r="E30" s="3">
        <v>35.799999999999997</v>
      </c>
      <c r="F30" s="3">
        <f t="shared" si="0"/>
        <v>5370</v>
      </c>
    </row>
    <row r="31" spans="1:6" x14ac:dyDescent="0.25">
      <c r="A31" s="1">
        <v>5.09</v>
      </c>
      <c r="B31" t="s">
        <v>38</v>
      </c>
      <c r="C31" s="2">
        <v>8</v>
      </c>
      <c r="D31" s="2" t="s">
        <v>31</v>
      </c>
      <c r="E31" s="3">
        <v>525</v>
      </c>
      <c r="F31" s="3">
        <f t="shared" si="0"/>
        <v>4200</v>
      </c>
    </row>
    <row r="32" spans="1:6" x14ac:dyDescent="0.25">
      <c r="A32" s="1">
        <v>5.0999999999999996</v>
      </c>
      <c r="B32" t="s">
        <v>39</v>
      </c>
      <c r="C32" s="2">
        <v>3</v>
      </c>
      <c r="D32" s="2" t="s">
        <v>27</v>
      </c>
      <c r="E32" s="3">
        <v>13360</v>
      </c>
      <c r="F32" s="3">
        <f t="shared" si="0"/>
        <v>40080</v>
      </c>
    </row>
    <row r="33" spans="1:6" x14ac:dyDescent="0.25">
      <c r="A33" s="1">
        <v>5.1099999999999994</v>
      </c>
      <c r="B33" t="s">
        <v>40</v>
      </c>
      <c r="C33" s="2">
        <v>1</v>
      </c>
      <c r="D33" s="2" t="s">
        <v>6</v>
      </c>
      <c r="E33" s="3">
        <v>36140</v>
      </c>
      <c r="F33" s="3">
        <f t="shared" si="0"/>
        <v>36140</v>
      </c>
    </row>
    <row r="34" spans="1:6" x14ac:dyDescent="0.25">
      <c r="A34" s="1">
        <v>5.1199999999999992</v>
      </c>
      <c r="B34" t="s">
        <v>41</v>
      </c>
      <c r="C34" s="2">
        <v>2</v>
      </c>
      <c r="D34" s="2" t="s">
        <v>42</v>
      </c>
      <c r="E34" s="3">
        <v>2375</v>
      </c>
      <c r="F34" s="3">
        <f t="shared" si="0"/>
        <v>4750</v>
      </c>
    </row>
    <row r="35" spans="1:6" x14ac:dyDescent="0.25">
      <c r="A35" s="1">
        <v>5.129999999999999</v>
      </c>
      <c r="B35" t="s">
        <v>20</v>
      </c>
      <c r="C35" s="2">
        <v>1</v>
      </c>
      <c r="D35" s="2" t="s">
        <v>12</v>
      </c>
      <c r="E35" s="3">
        <v>1.6</v>
      </c>
      <c r="F35" s="3">
        <f t="shared" si="0"/>
        <v>1.6</v>
      </c>
    </row>
    <row r="36" spans="1:6" x14ac:dyDescent="0.25">
      <c r="A36" s="1">
        <v>5.1399999999999988</v>
      </c>
      <c r="B36" t="s">
        <v>21</v>
      </c>
      <c r="C36" s="2">
        <v>85</v>
      </c>
      <c r="D36" s="2" t="s">
        <v>15</v>
      </c>
      <c r="E36" s="3">
        <v>22.6</v>
      </c>
      <c r="F36" s="3">
        <f t="shared" si="0"/>
        <v>1921.0000000000002</v>
      </c>
    </row>
    <row r="37" spans="1:6" x14ac:dyDescent="0.25">
      <c r="A37" s="1">
        <v>6.01</v>
      </c>
      <c r="B37" t="s">
        <v>43</v>
      </c>
      <c r="C37" s="2">
        <v>1</v>
      </c>
      <c r="D37" s="2" t="s">
        <v>6</v>
      </c>
      <c r="E37" s="3">
        <v>16650</v>
      </c>
      <c r="F37" s="3">
        <f t="shared" si="0"/>
        <v>16650</v>
      </c>
    </row>
    <row r="38" spans="1:6" x14ac:dyDescent="0.25">
      <c r="A38" s="1">
        <v>6.02</v>
      </c>
      <c r="B38" t="s">
        <v>44</v>
      </c>
      <c r="C38" s="2">
        <v>2</v>
      </c>
      <c r="D38" s="2" t="s">
        <v>27</v>
      </c>
      <c r="E38" s="3">
        <v>21250</v>
      </c>
      <c r="F38" s="3">
        <f t="shared" si="0"/>
        <v>42500</v>
      </c>
    </row>
    <row r="39" spans="1:6" x14ac:dyDescent="0.25">
      <c r="A39" s="1">
        <v>6.0299999999999994</v>
      </c>
      <c r="B39" t="s">
        <v>45</v>
      </c>
      <c r="C39" s="2">
        <v>1</v>
      </c>
      <c r="D39" s="2" t="s">
        <v>6</v>
      </c>
      <c r="E39" s="3">
        <v>12250</v>
      </c>
      <c r="F39" s="3">
        <f t="shared" si="0"/>
        <v>12250</v>
      </c>
    </row>
    <row r="40" spans="1:6" x14ac:dyDescent="0.25">
      <c r="A40" s="1">
        <v>6.0399999999999991</v>
      </c>
      <c r="B40" t="s">
        <v>21</v>
      </c>
      <c r="C40" s="2">
        <v>6</v>
      </c>
      <c r="D40" s="2" t="s">
        <v>46</v>
      </c>
      <c r="E40" s="3">
        <v>22.6</v>
      </c>
      <c r="F40" s="3">
        <f t="shared" si="0"/>
        <v>135.60000000000002</v>
      </c>
    </row>
    <row r="41" spans="1:6" x14ac:dyDescent="0.25">
      <c r="A41" s="1">
        <v>7.01</v>
      </c>
      <c r="B41" t="s">
        <v>47</v>
      </c>
      <c r="C41" s="2">
        <v>85</v>
      </c>
      <c r="D41" s="2" t="s">
        <v>15</v>
      </c>
      <c r="E41" s="3">
        <v>47</v>
      </c>
      <c r="F41" s="3">
        <f t="shared" si="0"/>
        <v>3995</v>
      </c>
    </row>
    <row r="42" spans="1:6" x14ac:dyDescent="0.25">
      <c r="A42" s="1">
        <v>7.02</v>
      </c>
      <c r="B42" t="s">
        <v>48</v>
      </c>
      <c r="C42" s="2">
        <v>85</v>
      </c>
      <c r="D42" s="2" t="s">
        <v>15</v>
      </c>
      <c r="E42" s="3">
        <v>41</v>
      </c>
      <c r="F42" s="3">
        <f t="shared" si="0"/>
        <v>3485</v>
      </c>
    </row>
    <row r="43" spans="1:6" x14ac:dyDescent="0.25">
      <c r="A43" s="1">
        <v>7.0299999999999994</v>
      </c>
      <c r="B43" t="s">
        <v>49</v>
      </c>
      <c r="C43" s="2">
        <v>180</v>
      </c>
      <c r="D43" s="2" t="s">
        <v>12</v>
      </c>
      <c r="E43" s="3">
        <v>30</v>
      </c>
      <c r="F43" s="3">
        <f t="shared" si="0"/>
        <v>5400</v>
      </c>
    </row>
    <row r="44" spans="1:6" x14ac:dyDescent="0.25">
      <c r="A44" s="1">
        <v>7.04</v>
      </c>
      <c r="B44" t="s">
        <v>50</v>
      </c>
      <c r="C44" s="2">
        <v>40</v>
      </c>
      <c r="D44" s="2" t="s">
        <v>15</v>
      </c>
      <c r="E44" s="3">
        <v>43.5</v>
      </c>
      <c r="F44" s="3">
        <f t="shared" si="0"/>
        <v>1740</v>
      </c>
    </row>
    <row r="45" spans="1:6" x14ac:dyDescent="0.25">
      <c r="A45" s="1">
        <v>7.05</v>
      </c>
      <c r="B45" t="s">
        <v>51</v>
      </c>
      <c r="C45" s="2">
        <v>20</v>
      </c>
      <c r="D45" s="2" t="s">
        <v>15</v>
      </c>
      <c r="E45" s="3">
        <v>165</v>
      </c>
      <c r="F45" s="3">
        <f t="shared" si="0"/>
        <v>3300</v>
      </c>
    </row>
    <row r="46" spans="1:6" x14ac:dyDescent="0.25">
      <c r="A46" s="1">
        <v>8.01</v>
      </c>
      <c r="B46" t="s">
        <v>52</v>
      </c>
      <c r="C46" s="2">
        <v>11951</v>
      </c>
      <c r="D46" s="2" t="s">
        <v>12</v>
      </c>
      <c r="E46" s="3">
        <v>0.82</v>
      </c>
      <c r="F46" s="3">
        <f t="shared" si="0"/>
        <v>9799.82</v>
      </c>
    </row>
    <row r="47" spans="1:6" x14ac:dyDescent="0.25">
      <c r="A47" s="1">
        <v>8.02</v>
      </c>
      <c r="B47" t="s">
        <v>53</v>
      </c>
      <c r="C47" s="2">
        <v>11951</v>
      </c>
      <c r="D47" s="2" t="s">
        <v>12</v>
      </c>
      <c r="E47" s="3">
        <v>1.17</v>
      </c>
      <c r="F47" s="3">
        <f t="shared" si="0"/>
        <v>13982.669999999998</v>
      </c>
    </row>
    <row r="48" spans="1:6" x14ac:dyDescent="0.25">
      <c r="A48" s="1">
        <v>8.0299999999999994</v>
      </c>
      <c r="B48" t="s">
        <v>54</v>
      </c>
      <c r="C48" s="2">
        <v>1060</v>
      </c>
      <c r="D48" s="2" t="s">
        <v>12</v>
      </c>
      <c r="E48" s="3">
        <v>7</v>
      </c>
      <c r="F48" s="3">
        <f t="shared" si="0"/>
        <v>7420</v>
      </c>
    </row>
    <row r="49" spans="1:6" x14ac:dyDescent="0.25">
      <c r="A49" s="1" t="s">
        <v>55</v>
      </c>
      <c r="E49" s="3"/>
      <c r="F49" s="3">
        <f>SUM(F2:F48)</f>
        <v>880069.99999999988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Sargent</dc:creator>
  <cp:lastModifiedBy>Chris Sargent</cp:lastModifiedBy>
  <dcterms:created xsi:type="dcterms:W3CDTF">2026-01-17T00:39:28Z</dcterms:created>
  <dcterms:modified xsi:type="dcterms:W3CDTF">2026-01-17T00:42:00Z</dcterms:modified>
</cp:coreProperties>
</file>